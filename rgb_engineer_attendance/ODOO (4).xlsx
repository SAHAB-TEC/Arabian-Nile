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New folder (4)\النيل العربي\HR\"/>
    </mc:Choice>
  </mc:AlternateContent>
  <bookViews>
    <workbookView xWindow="0" yWindow="0" windowWidth="23040" windowHeight="9372" activeTab="1"/>
  </bookViews>
  <sheets>
    <sheet name="Sheet1" sheetId="4" r:id="rId1"/>
    <sheet name="Sheet2" sheetId="5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5" l="1"/>
  <c r="F12" i="5"/>
  <c r="E6" i="5"/>
  <c r="B16" i="4" l="1"/>
  <c r="T5" i="4" l="1"/>
  <c r="Q5" i="4"/>
  <c r="N5" i="4"/>
  <c r="I5" i="4"/>
  <c r="H5" i="4"/>
  <c r="G5" i="4"/>
  <c r="E5" i="4"/>
  <c r="H6" i="4"/>
  <c r="F5" i="4"/>
  <c r="K5" i="4"/>
  <c r="E6" i="4" l="1"/>
  <c r="F6" i="4" l="1"/>
  <c r="I6" i="4"/>
  <c r="G6" i="4" l="1"/>
  <c r="K6" i="4" s="1"/>
  <c r="O6" i="4" s="1"/>
  <c r="L6" i="4" l="1"/>
  <c r="N6" i="4"/>
  <c r="Q6" i="4"/>
  <c r="R6" i="4" s="1"/>
  <c r="P6" i="4"/>
  <c r="S6" i="4" l="1"/>
  <c r="T6" i="4" s="1"/>
  <c r="X6" i="4" s="1"/>
  <c r="U6" i="4" s="1"/>
  <c r="W6" i="4" s="1"/>
  <c r="Y6" i="4" s="1"/>
  <c r="L5" i="4"/>
  <c r="O5" i="4"/>
  <c r="P5" i="4" s="1"/>
  <c r="R5" i="4" l="1"/>
  <c r="S5" i="4" l="1"/>
  <c r="X5" i="4" s="1"/>
  <c r="U5" i="4" s="1"/>
  <c r="W5" i="4" s="1"/>
  <c r="Y5" i="4" s="1"/>
</calcChain>
</file>

<file path=xl/sharedStrings.xml><?xml version="1.0" encoding="utf-8"?>
<sst xmlns="http://schemas.openxmlformats.org/spreadsheetml/2006/main" count="93" uniqueCount="72">
  <si>
    <t xml:space="preserve">رقم الوظيفي </t>
  </si>
  <si>
    <t>الاسم</t>
  </si>
  <si>
    <t xml:space="preserve">المرتب الاساسي </t>
  </si>
  <si>
    <t>الاضافي</t>
  </si>
  <si>
    <t xml:space="preserve">اجمالي المرتب </t>
  </si>
  <si>
    <t xml:space="preserve">حصة الشركة في الضمان </t>
  </si>
  <si>
    <t>حصة المضمون</t>
  </si>
  <si>
    <t>التضامن</t>
  </si>
  <si>
    <t>الوعاء الضريبي</t>
  </si>
  <si>
    <t>ضريبة الجهاد</t>
  </si>
  <si>
    <t>الاعفاء القانوني</t>
  </si>
  <si>
    <t>الوعاء ضريبة الدخل</t>
  </si>
  <si>
    <t>الدخل الخاضع للضريبة حسب قانون الضرائب رقم 7 لسنة 2010</t>
  </si>
  <si>
    <t>مجموع ضرائب الدخل</t>
  </si>
  <si>
    <t xml:space="preserve">مجموع الضرائب المستحقة </t>
  </si>
  <si>
    <t xml:space="preserve">اجمالي الاستقطاعات من المرتب </t>
  </si>
  <si>
    <t xml:space="preserve">خصومات اخرى ( السلفة ) </t>
  </si>
  <si>
    <t>الدخل الصافي</t>
  </si>
  <si>
    <t>الدمغة بواقع 0.005%</t>
  </si>
  <si>
    <t>الشريحة الاولى</t>
  </si>
  <si>
    <t>الشريحة الثانية</t>
  </si>
  <si>
    <t>1000 دينار</t>
  </si>
  <si>
    <t>الضريبة 5%</t>
  </si>
  <si>
    <t>ما زاد</t>
  </si>
  <si>
    <t>الضريبة 10%</t>
  </si>
  <si>
    <t>ايمن صالح امحمد غروده</t>
  </si>
  <si>
    <t xml:space="preserve">خليفه سليمان موسي كاريس </t>
  </si>
  <si>
    <t>المستحق للضمان</t>
  </si>
  <si>
    <t>حد الاعفاء</t>
  </si>
  <si>
    <t>الاساسي</t>
  </si>
  <si>
    <t>اعزب</t>
  </si>
  <si>
    <t/>
  </si>
  <si>
    <t>علاوة</t>
  </si>
  <si>
    <t>متزوج</t>
  </si>
  <si>
    <t>الابناء</t>
  </si>
  <si>
    <t>رصيد السلفة</t>
  </si>
  <si>
    <t>نعم ( 1 )</t>
  </si>
  <si>
    <t>حساب الاضافي</t>
  </si>
  <si>
    <t>عادية</t>
  </si>
  <si>
    <t>ممتازة</t>
  </si>
  <si>
    <t>اضافى</t>
  </si>
  <si>
    <t>الساعات</t>
  </si>
  <si>
    <t>القيمة</t>
  </si>
  <si>
    <t>Basic Salary</t>
  </si>
  <si>
    <t>Social Solidarity Fund 1%</t>
  </si>
  <si>
    <t>FIRST SLICE TAX 5%</t>
  </si>
  <si>
    <t>Gross Under Tax</t>
  </si>
  <si>
    <t>ناقص</t>
  </si>
  <si>
    <t>إجمالي المرتب</t>
  </si>
  <si>
    <t>حصة الشركة في الضمان</t>
  </si>
  <si>
    <t>BASIC</t>
  </si>
  <si>
    <t>Code</t>
  </si>
  <si>
    <t>Total Wage</t>
  </si>
  <si>
    <t>total_wage</t>
  </si>
  <si>
    <t>INS_BASE</t>
  </si>
  <si>
    <t>Category</t>
  </si>
  <si>
    <t>NO</t>
  </si>
  <si>
    <t>Basic</t>
  </si>
  <si>
    <t>result = min(categories.GROSS, 16000)</t>
  </si>
  <si>
    <t>Python Code</t>
  </si>
  <si>
    <t>Company Insurance</t>
  </si>
  <si>
    <t>Employee Insurance</t>
  </si>
  <si>
    <t>Gross for Social Security</t>
  </si>
  <si>
    <t>إجمالي المرتب الخاضع للضمان = المستحق للضمان</t>
  </si>
  <si>
    <t>Deduction</t>
  </si>
  <si>
    <t>Company Contribution</t>
  </si>
  <si>
    <t>Emp_INSU</t>
  </si>
  <si>
    <t>COMP_INSU</t>
  </si>
  <si>
    <t>Social</t>
  </si>
  <si>
    <t>يتم انشاء فيلد  موجود داخل العقد يتم ادخال قيمة جديدة به عند عمل حنريت من مديول انجنير اتندنس</t>
  </si>
  <si>
    <t>فوق 16</t>
  </si>
  <si>
    <t>تحت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</si>
</sst>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&quot;ر.س.‏&quot;_-;\-* #,##0.00\ &quot;ر.س.‏&quot;_-;_-* &quot;-&quot;??\ &quot;ر.س.‏&quot;_-;_-@_-"/>
    <numFmt numFmtId="165" formatCode="#,##0.0"/>
    <numFmt numFmtId="166" formatCode="_-* #,##0.00\ [$د.ل.‏-1001]_-;\-* #,##0.00\ [$د.ل.‏-1001]_-;_-* &quot;-&quot;??\ [$د.ل.‏-1001]_-;_-@_-"/>
    <numFmt numFmtId="167" formatCode="_-* #,##0.00_-;_-* #,##0.00\-;_-* &quot;-&quot;??_-;_-@_-"/>
    <numFmt numFmtId="168" formatCode="#,##0.000"/>
  </numFmts>
  <fonts count="12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charset val="178"/>
      <scheme val="minor"/>
    </font>
    <font>
      <b/>
      <sz val="18"/>
      <color rgb="FFFF0000"/>
      <name val="Aptos Narrow"/>
      <family val="2"/>
      <charset val="178"/>
      <scheme val="minor"/>
    </font>
    <font>
      <b/>
      <sz val="16"/>
      <color theme="1"/>
      <name val="Aptos Narrow"/>
      <family val="2"/>
      <charset val="178"/>
      <scheme val="minor"/>
    </font>
    <font>
      <b/>
      <sz val="18"/>
      <color theme="1"/>
      <name val="Aptos Display"/>
      <family val="1"/>
      <charset val="178"/>
      <scheme val="maj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charset val="178"/>
      <scheme val="minor"/>
    </font>
    <font>
      <sz val="10.5"/>
      <color rgb="FF002060"/>
      <name val="Arial"/>
      <family val="2"/>
    </font>
    <font>
      <sz val="18"/>
      <color rgb="FF00206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6" fontId="2" fillId="3" borderId="1" xfId="2" applyNumberFormat="1" applyFont="1" applyFill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166" fontId="2" fillId="4" borderId="1" xfId="2" applyNumberFormat="1" applyFont="1" applyFill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166" fontId="2" fillId="0" borderId="0" xfId="2" applyNumberFormat="1" applyFont="1" applyBorder="1" applyAlignment="1">
      <alignment horizontal="center" vertical="center"/>
    </xf>
    <xf numFmtId="0" fontId="1" fillId="0" borderId="0" xfId="1"/>
    <xf numFmtId="3" fontId="1" fillId="0" borderId="0" xfId="1" applyNumberFormat="1"/>
    <xf numFmtId="165" fontId="1" fillId="0" borderId="0" xfId="1" applyNumberFormat="1"/>
    <xf numFmtId="0" fontId="2" fillId="4" borderId="4" xfId="1" applyFont="1" applyFill="1" applyBorder="1" applyAlignment="1">
      <alignment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7" fillId="0" borderId="1" xfId="1" applyFont="1" applyBorder="1"/>
    <xf numFmtId="168" fontId="7" fillId="0" borderId="1" xfId="1" applyNumberFormat="1" applyFont="1" applyBorder="1"/>
    <xf numFmtId="0" fontId="8" fillId="0" borderId="0" xfId="1" applyFont="1"/>
    <xf numFmtId="0" fontId="6" fillId="6" borderId="1" xfId="1" applyFont="1" applyFill="1" applyBorder="1" applyAlignment="1">
      <alignment horizontal="center"/>
    </xf>
    <xf numFmtId="3" fontId="7" fillId="0" borderId="1" xfId="1" applyNumberFormat="1" applyFont="1" applyBorder="1"/>
    <xf numFmtId="0" fontId="7" fillId="7" borderId="1" xfId="1" applyFont="1" applyFill="1" applyBorder="1"/>
    <xf numFmtId="168" fontId="7" fillId="7" borderId="1" xfId="1" applyNumberFormat="1" applyFont="1" applyFill="1" applyBorder="1"/>
    <xf numFmtId="0" fontId="6" fillId="0" borderId="0" xfId="1" applyFont="1" applyAlignment="1">
      <alignment horizontal="center"/>
    </xf>
    <xf numFmtId="0" fontId="1" fillId="8" borderId="1" xfId="1" applyFill="1" applyBorder="1" applyAlignment="1">
      <alignment horizontal="center"/>
    </xf>
    <xf numFmtId="0" fontId="7" fillId="8" borderId="1" xfId="1" applyFont="1" applyFill="1" applyBorder="1" applyAlignment="1">
      <alignment horizontal="center"/>
    </xf>
    <xf numFmtId="0" fontId="7" fillId="9" borderId="1" xfId="1" applyFont="1" applyFill="1" applyBorder="1"/>
    <xf numFmtId="168" fontId="7" fillId="9" borderId="1" xfId="1" applyNumberFormat="1" applyFont="1" applyFill="1" applyBorder="1"/>
    <xf numFmtId="0" fontId="7" fillId="0" borderId="0" xfId="1" applyFont="1" applyAlignment="1">
      <alignment horizontal="center"/>
    </xf>
    <xf numFmtId="1" fontId="7" fillId="8" borderId="1" xfId="1" applyNumberFormat="1" applyFont="1" applyFill="1" applyBorder="1" applyAlignment="1">
      <alignment horizontal="center"/>
    </xf>
    <xf numFmtId="168" fontId="7" fillId="0" borderId="0" xfId="1" applyNumberFormat="1" applyFont="1"/>
    <xf numFmtId="168" fontId="1" fillId="8" borderId="1" xfId="1" applyNumberFormat="1" applyFill="1" applyBorder="1"/>
    <xf numFmtId="168" fontId="7" fillId="8" borderId="1" xfId="1" applyNumberFormat="1" applyFont="1" applyFill="1" applyBorder="1" applyAlignment="1">
      <alignment horizontal="center"/>
    </xf>
    <xf numFmtId="0" fontId="5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166" fontId="2" fillId="3" borderId="0" xfId="2" applyNumberFormat="1" applyFont="1" applyFill="1" applyBorder="1" applyAlignment="1">
      <alignment horizontal="center" vertical="center"/>
    </xf>
    <xf numFmtId="166" fontId="2" fillId="4" borderId="0" xfId="2" applyNumberFormat="1" applyFont="1" applyFill="1" applyBorder="1" applyAlignment="1">
      <alignment horizontal="center" vertical="center"/>
    </xf>
    <xf numFmtId="166" fontId="3" fillId="0" borderId="0" xfId="2" applyNumberFormat="1" applyFont="1" applyBorder="1" applyAlignment="1">
      <alignment horizontal="center" vertical="center"/>
    </xf>
    <xf numFmtId="166" fontId="2" fillId="10" borderId="1" xfId="2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65" fontId="2" fillId="2" borderId="5" xfId="1" applyNumberFormat="1" applyFont="1" applyFill="1" applyBorder="1" applyAlignment="1">
      <alignment horizontal="center" vertical="center"/>
    </xf>
    <xf numFmtId="165" fontId="2" fillId="2" borderId="0" xfId="1" applyNumberFormat="1" applyFont="1" applyFill="1" applyBorder="1" applyAlignment="1">
      <alignment horizontal="center" vertical="center"/>
    </xf>
    <xf numFmtId="0" fontId="0" fillId="0" borderId="0" xfId="0" applyAlignment="1"/>
    <xf numFmtId="166" fontId="2" fillId="10" borderId="0" xfId="2" applyNumberFormat="1" applyFont="1" applyFill="1" applyBorder="1" applyAlignment="1">
      <alignment horizontal="center" vertical="center"/>
    </xf>
    <xf numFmtId="166" fontId="2" fillId="10" borderId="4" xfId="2" applyNumberFormat="1" applyFont="1" applyFill="1" applyBorder="1" applyAlignment="1">
      <alignment horizontal="center" vertical="center"/>
    </xf>
    <xf numFmtId="166" fontId="3" fillId="0" borderId="4" xfId="2" applyNumberFormat="1" applyFont="1" applyBorder="1" applyAlignment="1">
      <alignment horizontal="center" vertical="center"/>
    </xf>
    <xf numFmtId="166" fontId="2" fillId="0" borderId="4" xfId="2" applyNumberFormat="1" applyFont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166" fontId="2" fillId="0" borderId="1" xfId="2" applyNumberFormat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/>
    </xf>
    <xf numFmtId="0" fontId="6" fillId="5" borderId="3" xfId="1" applyFont="1" applyFill="1" applyBorder="1" applyAlignment="1">
      <alignment horizontal="center"/>
    </xf>
    <xf numFmtId="0" fontId="6" fillId="5" borderId="7" xfId="1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165" fontId="2" fillId="2" borderId="4" xfId="1" applyNumberFormat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165" fontId="2" fillId="2" borderId="5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4" fontId="10" fillId="0" borderId="0" xfId="0" applyNumberFormat="1" applyFont="1" applyAlignment="1">
      <alignment horizontal="center" vertical="center"/>
    </xf>
  </cellXfs>
  <cellStyles count="4">
    <cellStyle name="Comma 2" xfId="3"/>
    <cellStyle name="Currency 2" xfId="2"/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rightToLeft="1" topLeftCell="L1" zoomScale="55" zoomScaleNormal="55" workbookViewId="0">
      <selection activeCell="Y6" sqref="Y6"/>
    </sheetView>
  </sheetViews>
  <sheetFormatPr defaultRowHeight="13.8"/>
  <cols>
    <col min="1" max="1" width="14.09765625" style="15" bestFit="1" customWidth="1"/>
    <col min="2" max="2" width="58.09765625" style="15" bestFit="1" customWidth="1"/>
    <col min="3" max="3" width="52.796875" style="16" customWidth="1"/>
    <col min="4" max="4" width="20.09765625" bestFit="1" customWidth="1"/>
    <col min="5" max="5" width="34.09765625" customWidth="1"/>
    <col min="6" max="6" width="61.59765625" bestFit="1" customWidth="1"/>
    <col min="7" max="7" width="50.19921875" customWidth="1"/>
    <col min="8" max="8" width="31" bestFit="1" customWidth="1"/>
    <col min="9" max="9" width="43.5" customWidth="1"/>
    <col min="10" max="10" width="16.8984375" bestFit="1" customWidth="1"/>
    <col min="11" max="11" width="33.19921875" bestFit="1" customWidth="1"/>
    <col min="12" max="12" width="26.59765625" customWidth="1"/>
    <col min="13" max="13" width="18.296875" bestFit="1" customWidth="1"/>
    <col min="14" max="14" width="22.796875" bestFit="1" customWidth="1"/>
    <col min="15" max="15" width="21" bestFit="1" customWidth="1"/>
    <col min="16" max="16" width="22.59765625" bestFit="1" customWidth="1"/>
    <col min="17" max="17" width="27.69921875" bestFit="1" customWidth="1"/>
    <col min="18" max="18" width="21" bestFit="1" customWidth="1"/>
    <col min="19" max="19" width="28.8984375" customWidth="1"/>
    <col min="20" max="20" width="24.09765625" customWidth="1"/>
    <col min="21" max="21" width="25.296875" customWidth="1"/>
    <col min="22" max="22" width="26" customWidth="1"/>
    <col min="23" max="23" width="22.59765625" bestFit="1" customWidth="1"/>
    <col min="24" max="24" width="25.8984375" hidden="1" customWidth="1"/>
    <col min="25" max="25" width="25.8984375" bestFit="1" customWidth="1"/>
  </cols>
  <sheetData>
    <row r="1" spans="1:26" ht="22.8">
      <c r="A1" s="57" t="s">
        <v>0</v>
      </c>
      <c r="B1" s="58" t="s">
        <v>1</v>
      </c>
      <c r="C1" s="59" t="s">
        <v>2</v>
      </c>
      <c r="D1" s="58" t="s">
        <v>3</v>
      </c>
      <c r="E1" s="60" t="s">
        <v>4</v>
      </c>
      <c r="F1" s="12"/>
      <c r="G1" s="65" t="s">
        <v>5</v>
      </c>
      <c r="H1" s="58" t="s">
        <v>6</v>
      </c>
      <c r="I1" s="58" t="s">
        <v>7</v>
      </c>
      <c r="J1" s="58" t="s">
        <v>3</v>
      </c>
      <c r="K1" s="58" t="s">
        <v>8</v>
      </c>
      <c r="L1" s="58" t="s">
        <v>9</v>
      </c>
      <c r="M1" s="64" t="s">
        <v>10</v>
      </c>
      <c r="N1" s="64" t="s">
        <v>11</v>
      </c>
      <c r="O1" s="58" t="s">
        <v>12</v>
      </c>
      <c r="P1" s="58"/>
      <c r="Q1" s="58"/>
      <c r="R1" s="58"/>
      <c r="S1" s="58" t="s">
        <v>13</v>
      </c>
      <c r="T1" s="58" t="s">
        <v>14</v>
      </c>
      <c r="U1" s="60" t="s">
        <v>15</v>
      </c>
      <c r="V1" s="74" t="s">
        <v>16</v>
      </c>
      <c r="W1" s="59" t="s">
        <v>17</v>
      </c>
      <c r="X1" s="70" t="s">
        <v>18</v>
      </c>
      <c r="Y1" s="73" t="s">
        <v>18</v>
      </c>
    </row>
    <row r="2" spans="1:26" ht="22.8">
      <c r="A2" s="57"/>
      <c r="B2" s="58"/>
      <c r="C2" s="59"/>
      <c r="D2" s="58"/>
      <c r="E2" s="60"/>
      <c r="F2" s="13" t="s">
        <v>27</v>
      </c>
      <c r="G2" s="65"/>
      <c r="H2" s="58"/>
      <c r="I2" s="58"/>
      <c r="J2" s="58"/>
      <c r="K2" s="58"/>
      <c r="L2" s="58"/>
      <c r="M2" s="64"/>
      <c r="N2" s="64"/>
      <c r="O2" s="58" t="s">
        <v>19</v>
      </c>
      <c r="P2" s="58"/>
      <c r="Q2" s="58" t="s">
        <v>20</v>
      </c>
      <c r="R2" s="58"/>
      <c r="S2" s="58"/>
      <c r="T2" s="58"/>
      <c r="U2" s="60"/>
      <c r="V2" s="74"/>
      <c r="W2" s="59"/>
      <c r="X2" s="71"/>
      <c r="Y2" s="73"/>
    </row>
    <row r="3" spans="1:26" ht="22.8">
      <c r="A3" s="57"/>
      <c r="B3" s="58"/>
      <c r="C3" s="59"/>
      <c r="D3" s="58"/>
      <c r="E3" s="60"/>
      <c r="F3" s="14"/>
      <c r="G3" s="65"/>
      <c r="H3" s="58"/>
      <c r="I3" s="58"/>
      <c r="J3" s="58"/>
      <c r="K3" s="58"/>
      <c r="L3" s="58"/>
      <c r="M3" s="64"/>
      <c r="N3" s="64"/>
      <c r="O3" s="1" t="s">
        <v>21</v>
      </c>
      <c r="P3" s="1" t="s">
        <v>22</v>
      </c>
      <c r="Q3" s="1" t="s">
        <v>23</v>
      </c>
      <c r="R3" s="1" t="s">
        <v>24</v>
      </c>
      <c r="S3" s="58"/>
      <c r="T3" s="58"/>
      <c r="U3" s="60"/>
      <c r="V3" s="74"/>
      <c r="W3" s="59"/>
      <c r="X3" s="72"/>
      <c r="Y3" s="73"/>
    </row>
    <row r="4" spans="1:26" s="48" customFormat="1" ht="22.8">
      <c r="A4" s="3"/>
      <c r="B4" s="40"/>
      <c r="C4" s="41" t="s">
        <v>43</v>
      </c>
      <c r="D4" s="40"/>
      <c r="E4" s="42" t="s">
        <v>52</v>
      </c>
      <c r="F4" s="55" t="s">
        <v>62</v>
      </c>
      <c r="G4" s="43" t="s">
        <v>60</v>
      </c>
      <c r="H4" s="40" t="s">
        <v>61</v>
      </c>
      <c r="I4" s="40" t="s">
        <v>44</v>
      </c>
      <c r="J4" s="40"/>
      <c r="K4" s="40" t="s">
        <v>46</v>
      </c>
      <c r="L4" s="40"/>
      <c r="M4" s="44"/>
      <c r="N4" s="44"/>
      <c r="O4" s="66" t="s">
        <v>45</v>
      </c>
      <c r="P4" s="67"/>
      <c r="Q4" s="68"/>
      <c r="R4" s="69"/>
      <c r="S4" s="40"/>
      <c r="T4" s="40"/>
      <c r="U4" s="42"/>
      <c r="V4" s="45"/>
      <c r="W4" s="41"/>
      <c r="X4" s="46"/>
      <c r="Y4" s="47"/>
    </row>
    <row r="5" spans="1:26" ht="22.8">
      <c r="A5" s="2">
        <v>22247</v>
      </c>
      <c r="B5" s="3" t="s">
        <v>25</v>
      </c>
      <c r="C5" s="4">
        <v>30308.09</v>
      </c>
      <c r="D5" s="5">
        <v>0</v>
      </c>
      <c r="E5" s="6">
        <f>C5+D5</f>
        <v>30308.09</v>
      </c>
      <c r="F5" s="6">
        <f>MIN(E5,16000)</f>
        <v>16000</v>
      </c>
      <c r="G5" s="7">
        <f>F5*14.35%</f>
        <v>2296</v>
      </c>
      <c r="H5" s="5">
        <f>F5*5.125%</f>
        <v>820</v>
      </c>
      <c r="I5" s="5">
        <f>E5*1%</f>
        <v>303.08089999999999</v>
      </c>
      <c r="J5" s="5">
        <v>0</v>
      </c>
      <c r="K5" s="5">
        <f>E5-G5-H5</f>
        <v>27192.09</v>
      </c>
      <c r="L5" s="5">
        <f>K5*0%</f>
        <v>0</v>
      </c>
      <c r="M5" s="5">
        <v>0</v>
      </c>
      <c r="N5" s="5">
        <f>K5-M5</f>
        <v>27192.09</v>
      </c>
      <c r="O5" s="5">
        <f>IF(K5-M5&lt;1000,K5-M5,IF(K5-M5&gt;1000,1000,0))</f>
        <v>1000</v>
      </c>
      <c r="P5" s="5">
        <f>O5*0.05</f>
        <v>50</v>
      </c>
      <c r="Q5" s="5">
        <f>IF(O5&gt;999.999,K5-M5-O5,0)</f>
        <v>26192.09</v>
      </c>
      <c r="R5" s="5">
        <f>Q5*0.1</f>
        <v>2619.2090000000003</v>
      </c>
      <c r="S5" s="5">
        <f>R5+P5</f>
        <v>2669.2090000000003</v>
      </c>
      <c r="T5" s="5">
        <f>S5+L5</f>
        <v>2669.2090000000003</v>
      </c>
      <c r="U5" s="6">
        <f>H5+I5+L5+P5+R5+G5+X5</f>
        <v>6101.635945</v>
      </c>
      <c r="V5" s="5"/>
      <c r="W5" s="4">
        <f t="shared" ref="W5:W6" si="0">E5-U5</f>
        <v>24206.454055000002</v>
      </c>
      <c r="X5" s="5">
        <f>T5*0.005</f>
        <v>13.346045000000002</v>
      </c>
      <c r="Y5" s="8">
        <f>W5*0.005</f>
        <v>121.03227027500002</v>
      </c>
      <c r="Z5">
        <v>21000</v>
      </c>
    </row>
    <row r="6" spans="1:26" ht="22.8">
      <c r="A6" s="2">
        <v>22248</v>
      </c>
      <c r="B6" s="3" t="s">
        <v>26</v>
      </c>
      <c r="C6" s="4">
        <v>5250</v>
      </c>
      <c r="D6" s="5">
        <v>1</v>
      </c>
      <c r="E6" s="6">
        <f t="shared" ref="E6" si="1">C6+D6</f>
        <v>5251</v>
      </c>
      <c r="F6" s="6">
        <f t="shared" ref="F6" si="2">MIN(E6,16000)</f>
        <v>5251</v>
      </c>
      <c r="G6" s="7">
        <f t="shared" ref="G6" si="3">F6*14.35%</f>
        <v>753.5184999999999</v>
      </c>
      <c r="H6" s="5">
        <f>F6*5.125%</f>
        <v>269.11374999999998</v>
      </c>
      <c r="I6" s="5">
        <f>E6*1%</f>
        <v>52.51</v>
      </c>
      <c r="J6" s="5">
        <v>1</v>
      </c>
      <c r="K6" s="5">
        <f>E6-G6-H6</f>
        <v>4228.3677499999994</v>
      </c>
      <c r="L6" s="5">
        <f t="shared" ref="L6" si="4">K6*0%</f>
        <v>0</v>
      </c>
      <c r="M6" s="5">
        <v>1</v>
      </c>
      <c r="N6" s="5">
        <f t="shared" ref="N6" si="5">K6-M6</f>
        <v>4227.3677499999994</v>
      </c>
      <c r="O6" s="5">
        <f>IF(K6-M6&lt;1000,K6-M6,IF(K6-M6&gt;1000,1000,0))</f>
        <v>1000</v>
      </c>
      <c r="P6" s="5">
        <f t="shared" ref="P6" si="6">O6*0.05</f>
        <v>50</v>
      </c>
      <c r="Q6" s="5">
        <f>IF(O6&gt;999.999,K6-M6-O6,0)</f>
        <v>3227.3677499999994</v>
      </c>
      <c r="R6" s="5">
        <f t="shared" ref="R6" si="7">Q6*0.1</f>
        <v>322.73677499999997</v>
      </c>
      <c r="S6" s="5">
        <f>R6+P6</f>
        <v>372.73677499999997</v>
      </c>
      <c r="T6" s="5">
        <f t="shared" ref="T6" si="8">S6+L6</f>
        <v>372.73677499999997</v>
      </c>
      <c r="U6" s="6">
        <f>H6+I6+L6+P6+R6+G6+X6</f>
        <v>1449.7427088749998</v>
      </c>
      <c r="V6" s="5"/>
      <c r="W6" s="4">
        <f t="shared" si="0"/>
        <v>3801.2572911249999</v>
      </c>
      <c r="X6" s="5">
        <f t="shared" ref="X6" si="9">T6*0.005</f>
        <v>1.8636838749999998</v>
      </c>
      <c r="Y6" s="8">
        <f t="shared" ref="Y6" si="10">W6*0.005</f>
        <v>19.006286455624998</v>
      </c>
    </row>
    <row r="7" spans="1:26" ht="22.8">
      <c r="A7" s="34"/>
      <c r="B7" s="35"/>
      <c r="C7" s="39"/>
      <c r="D7" s="39"/>
      <c r="E7" s="39"/>
      <c r="F7" s="39"/>
      <c r="G7" s="3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37"/>
      <c r="V7" s="8"/>
      <c r="W7" s="36"/>
      <c r="X7" s="8"/>
      <c r="Y7" s="8"/>
    </row>
    <row r="8" spans="1:26" ht="22.8">
      <c r="A8" s="34"/>
      <c r="B8" s="35"/>
      <c r="C8" s="39"/>
      <c r="D8" s="39"/>
      <c r="E8" s="39"/>
      <c r="F8" s="39"/>
      <c r="G8" s="3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37"/>
      <c r="V8" s="8"/>
      <c r="W8" s="36"/>
      <c r="X8" s="8"/>
      <c r="Y8" s="8"/>
    </row>
    <row r="9" spans="1:26" ht="22.8">
      <c r="A9" s="34"/>
      <c r="B9" s="35"/>
      <c r="C9" s="50" t="s">
        <v>51</v>
      </c>
      <c r="D9" s="50" t="s">
        <v>51</v>
      </c>
      <c r="E9" s="50" t="s">
        <v>51</v>
      </c>
      <c r="F9" s="50" t="s">
        <v>51</v>
      </c>
      <c r="G9" s="50" t="s">
        <v>51</v>
      </c>
      <c r="H9" s="50" t="s">
        <v>51</v>
      </c>
      <c r="I9" s="50" t="s">
        <v>51</v>
      </c>
      <c r="J9" s="50" t="s">
        <v>51</v>
      </c>
      <c r="K9" s="50" t="s">
        <v>51</v>
      </c>
      <c r="L9" s="50" t="s">
        <v>51</v>
      </c>
      <c r="M9" s="8"/>
      <c r="N9" s="8"/>
      <c r="O9" s="8"/>
      <c r="P9" s="8"/>
      <c r="Q9" s="8"/>
      <c r="R9" s="8"/>
      <c r="S9" s="8"/>
      <c r="T9" s="8"/>
      <c r="U9" s="37"/>
      <c r="V9" s="8"/>
      <c r="W9" s="36"/>
      <c r="X9" s="8"/>
      <c r="Y9" s="8"/>
    </row>
    <row r="10" spans="1:26" ht="22.8">
      <c r="A10" s="34"/>
      <c r="B10" s="50" t="s">
        <v>51</v>
      </c>
      <c r="C10" s="50" t="s">
        <v>50</v>
      </c>
      <c r="D10" s="50"/>
      <c r="E10" s="50" t="s">
        <v>53</v>
      </c>
      <c r="F10" s="50" t="s">
        <v>54</v>
      </c>
      <c r="G10" s="51" t="s">
        <v>67</v>
      </c>
      <c r="H10" s="52" t="s">
        <v>66</v>
      </c>
      <c r="I10" s="52" t="s">
        <v>68</v>
      </c>
      <c r="J10" s="52"/>
      <c r="K10" s="53" t="s">
        <v>46</v>
      </c>
      <c r="L10" s="52"/>
      <c r="M10" s="52"/>
      <c r="N10" s="8"/>
      <c r="O10" s="8"/>
      <c r="P10" s="8"/>
      <c r="Q10" s="8"/>
      <c r="R10" s="8"/>
      <c r="S10" s="8"/>
      <c r="T10" s="8"/>
      <c r="U10" s="37"/>
      <c r="V10" s="8"/>
      <c r="W10" s="36"/>
      <c r="X10" s="8"/>
      <c r="Y10" s="8"/>
    </row>
    <row r="11" spans="1:26" ht="22.8">
      <c r="A11" s="34"/>
      <c r="B11" s="3" t="s">
        <v>55</v>
      </c>
      <c r="C11" s="39" t="s">
        <v>57</v>
      </c>
      <c r="D11" s="39"/>
      <c r="E11" s="39" t="s">
        <v>56</v>
      </c>
      <c r="F11" s="39" t="s">
        <v>56</v>
      </c>
      <c r="G11" s="7" t="s">
        <v>65</v>
      </c>
      <c r="H11" s="5" t="s">
        <v>64</v>
      </c>
      <c r="I11" s="5" t="s">
        <v>64</v>
      </c>
      <c r="J11" s="5"/>
      <c r="K11" s="54" t="s">
        <v>56</v>
      </c>
      <c r="L11" s="5"/>
      <c r="M11" s="5"/>
      <c r="N11" s="5"/>
      <c r="O11" s="5"/>
      <c r="P11" s="5"/>
      <c r="Q11" s="5"/>
      <c r="R11" s="5"/>
      <c r="S11" s="5"/>
      <c r="T11" s="5"/>
      <c r="U11" s="37"/>
      <c r="V11" s="8"/>
      <c r="W11" s="36"/>
      <c r="X11" s="8"/>
      <c r="Y11" s="8"/>
    </row>
    <row r="12" spans="1:26" ht="22.8">
      <c r="A12" s="34"/>
      <c r="B12" s="3" t="s">
        <v>59</v>
      </c>
      <c r="C12" s="39"/>
      <c r="D12" s="39"/>
      <c r="E12" s="39"/>
      <c r="F12" s="39" t="s">
        <v>58</v>
      </c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37"/>
      <c r="V12" s="8"/>
      <c r="W12" s="36"/>
      <c r="X12" s="8"/>
      <c r="Y12" s="8"/>
    </row>
    <row r="13" spans="1:26" ht="22.8">
      <c r="A13" s="34"/>
      <c r="B13" s="35"/>
      <c r="C13" s="49"/>
      <c r="D13" s="49"/>
      <c r="E13" s="49"/>
      <c r="F13" s="49"/>
      <c r="G13" s="3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37"/>
      <c r="V13" s="8"/>
      <c r="W13" s="36"/>
      <c r="X13" s="8"/>
      <c r="Y13" s="8"/>
    </row>
    <row r="14" spans="1:26" ht="22.8">
      <c r="A14" s="34"/>
      <c r="B14" s="35">
        <v>24206.45</v>
      </c>
      <c r="C14" s="49"/>
      <c r="D14" s="49"/>
      <c r="E14" s="49"/>
      <c r="F14" s="49"/>
      <c r="G14" s="3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37"/>
      <c r="V14" s="8"/>
      <c r="W14" s="36"/>
      <c r="X14" s="8"/>
      <c r="Y14" s="8"/>
    </row>
    <row r="15" spans="1:26" ht="22.8">
      <c r="A15" s="34"/>
      <c r="B15" s="35"/>
      <c r="C15" s="49"/>
      <c r="D15" s="49"/>
      <c r="E15" s="49"/>
      <c r="F15" s="49"/>
      <c r="G15" s="3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37"/>
      <c r="V15" s="8"/>
      <c r="W15" s="36"/>
      <c r="X15" s="8"/>
      <c r="Y15" s="8"/>
    </row>
    <row r="16" spans="1:26" ht="22.8">
      <c r="A16" s="34"/>
      <c r="B16" s="75">
        <f>ROUND(((B14 + 3070.831) / 0.90000033), 2)</f>
        <v>30308.080000000002</v>
      </c>
      <c r="C16" s="49"/>
      <c r="D16" s="49"/>
      <c r="E16" s="49"/>
      <c r="F16" s="49"/>
      <c r="G16" s="3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37"/>
      <c r="V16" s="8"/>
      <c r="W16" s="36"/>
      <c r="X16" s="8"/>
      <c r="Y16" s="8"/>
    </row>
    <row r="17" spans="1:25" ht="22.8">
      <c r="A17" s="34"/>
      <c r="B17" s="35"/>
      <c r="C17" s="49"/>
      <c r="D17" s="49"/>
      <c r="E17" s="49"/>
      <c r="F17" s="49"/>
      <c r="G17" s="3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37"/>
      <c r="V17" s="8"/>
      <c r="W17" s="36"/>
      <c r="X17" s="8"/>
      <c r="Y17" s="8"/>
    </row>
    <row r="18" spans="1:25" ht="22.8">
      <c r="A18" s="34"/>
      <c r="B18" s="35"/>
      <c r="C18" s="49"/>
      <c r="D18" s="49"/>
      <c r="E18" s="49"/>
      <c r="F18" s="49"/>
      <c r="G18" s="3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37"/>
      <c r="V18" s="8"/>
      <c r="W18" s="36"/>
      <c r="X18" s="8"/>
      <c r="Y18" s="8"/>
    </row>
    <row r="20" spans="1:25" ht="24.6">
      <c r="F20" s="56" t="s">
        <v>63</v>
      </c>
    </row>
    <row r="22" spans="1:25" s="9" customFormat="1" ht="22.8">
      <c r="B22" s="61" t="s">
        <v>28</v>
      </c>
      <c r="C22" s="62"/>
      <c r="D22" s="62"/>
      <c r="E22" s="63"/>
      <c r="G22" s="17" t="s">
        <v>29</v>
      </c>
      <c r="H22" s="18">
        <v>1000</v>
      </c>
      <c r="M22" s="10"/>
      <c r="N22" s="10"/>
      <c r="W22" s="19"/>
      <c r="X22" s="11"/>
      <c r="Y22" s="11"/>
    </row>
    <row r="23" spans="1:25" s="9" customFormat="1" ht="22.8">
      <c r="B23" s="20" t="s">
        <v>30</v>
      </c>
      <c r="C23" s="20">
        <v>150</v>
      </c>
      <c r="D23" s="20"/>
      <c r="E23" s="20" t="s">
        <v>31</v>
      </c>
      <c r="G23" s="17" t="s">
        <v>32</v>
      </c>
      <c r="H23" s="18">
        <v>100</v>
      </c>
      <c r="M23" s="10"/>
      <c r="N23" s="10"/>
      <c r="W23" s="19"/>
      <c r="X23" s="11"/>
      <c r="Y23" s="11"/>
    </row>
    <row r="24" spans="1:25" s="9" customFormat="1" ht="22.8">
      <c r="B24" s="20" t="s">
        <v>33</v>
      </c>
      <c r="C24" s="20">
        <v>200</v>
      </c>
      <c r="D24" s="20"/>
      <c r="E24" s="20" t="s">
        <v>31</v>
      </c>
      <c r="G24" s="17"/>
      <c r="H24" s="18"/>
      <c r="M24" s="10"/>
      <c r="N24" s="10"/>
      <c r="W24" s="19"/>
      <c r="X24" s="11"/>
      <c r="Y24" s="11"/>
    </row>
    <row r="25" spans="1:25" s="9" customFormat="1" ht="22.8">
      <c r="B25" s="20" t="s">
        <v>34</v>
      </c>
      <c r="C25" s="20">
        <v>25</v>
      </c>
      <c r="D25" s="20"/>
      <c r="E25" s="20" t="s">
        <v>31</v>
      </c>
      <c r="G25" s="17"/>
      <c r="H25" s="21"/>
      <c r="J25" s="5"/>
      <c r="K25" s="4" t="s">
        <v>8</v>
      </c>
      <c r="L25" s="54"/>
      <c r="M25" s="10"/>
      <c r="N25" s="10"/>
      <c r="W25" s="19"/>
      <c r="X25" s="11"/>
      <c r="Y25" s="11"/>
    </row>
    <row r="26" spans="1:25" s="11" customFormat="1" ht="22.8">
      <c r="B26" s="20"/>
      <c r="C26" s="20"/>
      <c r="D26" s="20"/>
      <c r="E26" s="20">
        <v>0</v>
      </c>
      <c r="F26" s="9"/>
      <c r="G26" s="17" t="s">
        <v>35</v>
      </c>
      <c r="H26" s="18"/>
      <c r="I26" s="9"/>
      <c r="J26" s="5"/>
      <c r="K26" s="5" t="s">
        <v>48</v>
      </c>
      <c r="L26" s="5"/>
      <c r="M26" s="10"/>
      <c r="N26" s="10"/>
      <c r="O26" s="9"/>
      <c r="P26" s="9"/>
      <c r="Q26" s="9"/>
      <c r="R26" s="9"/>
      <c r="S26" s="9"/>
      <c r="T26" s="9"/>
      <c r="U26" s="9"/>
      <c r="V26" s="9"/>
      <c r="W26" s="19"/>
    </row>
    <row r="27" spans="1:25" s="11" customFormat="1" ht="22.8">
      <c r="B27" s="9"/>
      <c r="C27" s="9"/>
      <c r="D27" s="9"/>
      <c r="E27" s="9"/>
      <c r="F27" s="9"/>
      <c r="G27" s="22"/>
      <c r="H27" s="23"/>
      <c r="I27" s="9"/>
      <c r="J27" s="8" t="s">
        <v>47</v>
      </c>
      <c r="K27" s="8" t="s">
        <v>49</v>
      </c>
      <c r="L27" s="8"/>
      <c r="M27" s="10"/>
      <c r="N27" s="10"/>
      <c r="O27" s="9"/>
      <c r="P27" s="9"/>
      <c r="Q27" s="9"/>
      <c r="R27" s="9"/>
      <c r="S27" s="9"/>
      <c r="T27" s="9"/>
      <c r="U27" s="9"/>
      <c r="V27" s="9"/>
      <c r="W27" s="19"/>
    </row>
    <row r="28" spans="1:25" s="11" customFormat="1" ht="22.8">
      <c r="B28" s="24" t="s">
        <v>36</v>
      </c>
      <c r="C28" s="25">
        <v>1</v>
      </c>
      <c r="D28" s="26" t="s">
        <v>37</v>
      </c>
      <c r="E28" s="26" t="s">
        <v>38</v>
      </c>
      <c r="F28" s="26" t="s">
        <v>39</v>
      </c>
      <c r="G28" s="27" t="s">
        <v>40</v>
      </c>
      <c r="H28" s="28">
        <v>0</v>
      </c>
      <c r="I28" s="29"/>
      <c r="J28" s="8" t="s">
        <v>47</v>
      </c>
      <c r="K28" s="8" t="s">
        <v>6</v>
      </c>
      <c r="L28" s="8"/>
      <c r="M28" s="10"/>
      <c r="N28" s="10"/>
      <c r="O28" s="9"/>
      <c r="P28" s="9"/>
      <c r="Q28" s="9"/>
      <c r="R28" s="9"/>
      <c r="S28" s="9"/>
      <c r="T28" s="9"/>
      <c r="U28" s="9"/>
      <c r="V28" s="9"/>
      <c r="W28" s="19"/>
    </row>
    <row r="29" spans="1:25" s="11" customFormat="1" ht="22.8">
      <c r="B29" s="9"/>
      <c r="C29" s="9"/>
      <c r="D29" s="29" t="s">
        <v>41</v>
      </c>
      <c r="E29" s="30"/>
      <c r="F29" s="30"/>
      <c r="I29" s="31"/>
      <c r="J29" s="9"/>
      <c r="K29" s="9"/>
      <c r="L29" s="9"/>
      <c r="M29" s="10"/>
      <c r="N29" s="10"/>
      <c r="O29" s="9"/>
      <c r="P29" s="9"/>
      <c r="Q29" s="9"/>
      <c r="R29" s="9"/>
      <c r="S29" s="9"/>
      <c r="T29" s="9"/>
      <c r="U29" s="9"/>
      <c r="V29" s="9"/>
      <c r="W29" s="19"/>
    </row>
    <row r="30" spans="1:25" s="11" customFormat="1" ht="22.8">
      <c r="B30" s="9"/>
      <c r="C30" s="32">
        <v>0</v>
      </c>
      <c r="D30" s="29" t="s">
        <v>42</v>
      </c>
      <c r="E30" s="33">
        <v>0</v>
      </c>
      <c r="F30" s="33">
        <v>0</v>
      </c>
      <c r="I30" s="31"/>
      <c r="J30" s="9"/>
      <c r="K30" s="9"/>
      <c r="L30" s="9"/>
      <c r="M30" s="10"/>
      <c r="N30" s="10"/>
      <c r="O30" s="9"/>
      <c r="P30" s="9"/>
      <c r="Q30" s="9"/>
      <c r="R30" s="9"/>
      <c r="S30" s="9"/>
      <c r="T30" s="9"/>
      <c r="U30" s="9"/>
      <c r="V30" s="9"/>
      <c r="W30" s="19"/>
    </row>
  </sheetData>
  <mergeCells count="26">
    <mergeCell ref="W1:W3"/>
    <mergeCell ref="X1:X3"/>
    <mergeCell ref="Y1:Y3"/>
    <mergeCell ref="O2:P2"/>
    <mergeCell ref="Q2:R2"/>
    <mergeCell ref="U1:U3"/>
    <mergeCell ref="V1:V3"/>
    <mergeCell ref="B22:E22"/>
    <mergeCell ref="N1:N3"/>
    <mergeCell ref="O1:R1"/>
    <mergeCell ref="S1:S3"/>
    <mergeCell ref="T1:T3"/>
    <mergeCell ref="H1:H3"/>
    <mergeCell ref="I1:I3"/>
    <mergeCell ref="J1:J3"/>
    <mergeCell ref="K1:K3"/>
    <mergeCell ref="L1:L3"/>
    <mergeCell ref="M1:M3"/>
    <mergeCell ref="G1:G3"/>
    <mergeCell ref="O4:P4"/>
    <mergeCell ref="Q4:R4"/>
    <mergeCell ref="A1:A3"/>
    <mergeCell ref="B1:B3"/>
    <mergeCell ref="C1:C3"/>
    <mergeCell ref="D1:D3"/>
    <mergeCell ref="E1:E3"/>
  </mergeCells>
  <conditionalFormatting sqref="A5:A18">
    <cfRule type="duplicateValues" dxfId="2" priority="14"/>
    <cfRule type="duplicateValues" dxfId="1" priority="15"/>
  </conditionalFormatting>
  <conditionalFormatting sqref="B5:B9 B11:B15 B17:B18">
    <cfRule type="duplicateValues" dxfId="0" priority="16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17"/>
  <sheetViews>
    <sheetView tabSelected="1" workbookViewId="0">
      <selection activeCell="D17" sqref="D17"/>
    </sheetView>
  </sheetViews>
  <sheetFormatPr defaultRowHeight="13.8"/>
  <cols>
    <col min="2" max="2" width="22.5" customWidth="1"/>
    <col min="3" max="3" width="53" bestFit="1" customWidth="1"/>
    <col min="4" max="4" width="89.296875" bestFit="1" customWidth="1"/>
  </cols>
  <sheetData>
    <row r="6" spans="2:7">
      <c r="B6" s="76">
        <v>24206.45</v>
      </c>
      <c r="C6" t="s">
        <v>69</v>
      </c>
      <c r="E6">
        <f>ROUND(((B6 + 3070.831) / 0.90000033), 2)</f>
        <v>30308.080000000002</v>
      </c>
      <c r="G6" t="s">
        <v>70</v>
      </c>
    </row>
    <row r="7" spans="2:7">
      <c r="B7" s="76">
        <v>30308.09</v>
      </c>
    </row>
    <row r="8" spans="2:7">
      <c r="B8" s="76">
        <v>24206.45</v>
      </c>
    </row>
    <row r="12" spans="2:7">
      <c r="B12">
        <v>3801.26</v>
      </c>
      <c r="F12">
        <f>ROUND(((B15 - 65.7945) / 0.71151724), 2)</f>
        <v>623.58000000000004</v>
      </c>
      <c r="G12" t="s">
        <v>71</v>
      </c>
    </row>
    <row r="13" spans="2:7">
      <c r="B13">
        <v>3373.06</v>
      </c>
    </row>
    <row r="14" spans="2:7">
      <c r="B14">
        <v>10052.370000000001</v>
      </c>
    </row>
    <row r="15" spans="2:7">
      <c r="B15">
        <v>509.48</v>
      </c>
      <c r="F15">
        <v>4960</v>
      </c>
    </row>
    <row r="16" spans="2:7">
      <c r="B16">
        <v>6051.56</v>
      </c>
    </row>
    <row r="17" spans="2:4">
      <c r="B17">
        <v>18618.02</v>
      </c>
      <c r="D17">
        <f>IF(B15&lt;=937.33, B15/0.7547861875, IF(B15&lt;=11479.41, (B15-50.25)/0.714322375, (B15+2752.592)/0.8895))</f>
        <v>674.99910363688264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a9e8d-f70d-4d31-aab3-e3670130059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7C8D2C14A294EB9C064A88C60A92A" ma:contentTypeVersion="9" ma:contentTypeDescription="Create a new document." ma:contentTypeScope="" ma:versionID="86b8f342267e57ada14b656b626802cd">
  <xsd:schema xmlns:xsd="http://www.w3.org/2001/XMLSchema" xmlns:xs="http://www.w3.org/2001/XMLSchema" xmlns:p="http://schemas.microsoft.com/office/2006/metadata/properties" xmlns:ns3="457a9e8d-f70d-4d31-aab3-e3670130059e" targetNamespace="http://schemas.microsoft.com/office/2006/metadata/properties" ma:root="true" ma:fieldsID="7e35f80a06fc2673a60c97d81c5cbd4b" ns3:_="">
    <xsd:import namespace="457a9e8d-f70d-4d31-aab3-e3670130059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a9e8d-f70d-4d31-aab3-e3670130059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968C01-22B6-4C5E-9723-050A9BA404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9A18BD-1C6F-418E-AD26-CBC94957E7D8}">
  <ds:schemaRefs>
    <ds:schemaRef ds:uri="http://purl.org/dc/terms/"/>
    <ds:schemaRef ds:uri="http://schemas.openxmlformats.org/package/2006/metadata/core-properties"/>
    <ds:schemaRef ds:uri="http://purl.org/dc/dcmitype/"/>
    <ds:schemaRef ds:uri="457a9e8d-f70d-4d31-aab3-e3670130059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99565D1-2C67-4CD8-AEF0-0B68350D81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a9e8d-f70d-4d31-aab3-e367013005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 Shwehdi</dc:creator>
  <cp:lastModifiedBy>HP</cp:lastModifiedBy>
  <dcterms:created xsi:type="dcterms:W3CDTF">2026-04-29T13:26:25Z</dcterms:created>
  <dcterms:modified xsi:type="dcterms:W3CDTF">2026-08-08T23:43:53Z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0x010100D397C8D2C14A294EB9C064A88C60A92A</vt:lpwstr>
  </property>
</Properties>
</file>